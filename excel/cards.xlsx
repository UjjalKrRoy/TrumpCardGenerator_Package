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umpCardGenerator\excel\"/>
    </mc:Choice>
  </mc:AlternateContent>
  <xr:revisionPtr revIDLastSave="0" documentId="13_ncr:1_{D3194B8D-A510-4602-A058-279CE04328F8}" xr6:coauthVersionLast="47" xr6:coauthVersionMax="47" xr10:uidLastSave="{00000000-0000-0000-0000-000000000000}"/>
  <bookViews>
    <workbookView xWindow="-120" yWindow="-120" windowWidth="29040" windowHeight="15720" firstSheet="1" activeTab="1" xr2:uid="{C0820614-1D59-4E6A-90A4-49D5863D6AB1}"/>
  </bookViews>
  <sheets>
    <sheet name="Sheet1" sheetId="1" state="hidden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1" i="1" l="1"/>
  <c r="O11" i="1" s="1"/>
  <c r="K10" i="1"/>
  <c r="K11" i="1"/>
  <c r="K8" i="1"/>
  <c r="G3" i="1"/>
  <c r="H9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<sst xmlns="http://schemas.openxmlformats.org/spreadsheetml/2006/main" count="107" uniqueCount="100">
  <si>
    <t>Subject</t>
  </si>
  <si>
    <t>Stage 1 (Newton)</t>
  </si>
  <si>
    <t>Stage 2 (Galileo)</t>
  </si>
  <si>
    <t>Stage 3 (Darwin)</t>
  </si>
  <si>
    <t>Stage 4 (Tesla)</t>
  </si>
  <si>
    <t>Stage 5 (Da Vinci)</t>
  </si>
  <si>
    <t>Math</t>
  </si>
  <si>
    <t>Deck M1</t>
  </si>
  <si>
    <t>Deck M2</t>
  </si>
  <si>
    <t>Deck M3</t>
  </si>
  <si>
    <t>Deck M4</t>
  </si>
  <si>
    <t>Deck M5</t>
  </si>
  <si>
    <t>Physics</t>
  </si>
  <si>
    <t>Deck P1</t>
  </si>
  <si>
    <t>Deck P2</t>
  </si>
  <si>
    <t>Deck P3</t>
  </si>
  <si>
    <t>Deck P4</t>
  </si>
  <si>
    <t>Deck P5</t>
  </si>
  <si>
    <t>Life Science</t>
  </si>
  <si>
    <t>Deck L1</t>
  </si>
  <si>
    <t>Deck L2</t>
  </si>
  <si>
    <t>Deck L3</t>
  </si>
  <si>
    <t>Deck L4</t>
  </si>
  <si>
    <t>Deck L5</t>
  </si>
  <si>
    <t>English</t>
  </si>
  <si>
    <t>Deck E1</t>
  </si>
  <si>
    <t>Deck E2</t>
  </si>
  <si>
    <t>Deck E3</t>
  </si>
  <si>
    <t>Deck E4</t>
  </si>
  <si>
    <t>Deck E5</t>
  </si>
  <si>
    <t>Geography</t>
  </si>
  <si>
    <t>Deck G1</t>
  </si>
  <si>
    <t>Deck G2</t>
  </si>
  <si>
    <t>Deck G3</t>
  </si>
  <si>
    <t>Deck G4</t>
  </si>
  <si>
    <t>Deck G5</t>
  </si>
  <si>
    <t>AI</t>
  </si>
  <si>
    <t>Deck A1</t>
  </si>
  <si>
    <t>Deck A2</t>
  </si>
  <si>
    <t>Deck A3</t>
  </si>
  <si>
    <t>Deck A4</t>
  </si>
  <si>
    <t>Deck A5</t>
  </si>
  <si>
    <t>Class-5-10</t>
  </si>
  <si>
    <t>Total Card to be print for each Class Level</t>
  </si>
  <si>
    <t>What is the smallest Prime Number?</t>
  </si>
  <si>
    <t>How many sides does a Hexagon have?</t>
  </si>
  <si>
    <t>6 sides.</t>
  </si>
  <si>
    <t>Value of 1/4 of 100?</t>
  </si>
  <si>
    <t>What is an Obtuse angle?</t>
  </si>
  <si>
    <t>An angle greater than 90 degrees but less than 180.</t>
  </si>
  <si>
    <t>Formula for Area of Square?</t>
  </si>
  <si>
    <t>Side × Side.</t>
  </si>
  <si>
    <t>What is 1 km in meters?</t>
  </si>
  <si>
    <t>1,000 meters.</t>
  </si>
  <si>
    <t>How many zeros in a Million?</t>
  </si>
  <si>
    <t>6 zeros.</t>
  </si>
  <si>
    <t>Are all squares rectangles?</t>
  </si>
  <si>
    <t>Yes, because they have 90-degree corners.</t>
  </si>
  <si>
    <t>What is the value of 5²?</t>
  </si>
  <si>
    <t>Fraction for 0.25?</t>
  </si>
  <si>
    <t>1/4.</t>
  </si>
  <si>
    <t>If 3x = 12, what is x?</t>
  </si>
  <si>
    <t>x = 4.</t>
  </si>
  <si>
    <t>Multiply 15 by 100?</t>
  </si>
  <si>
    <t>Convert 500 paise to Rupees?</t>
  </si>
  <si>
    <t>5 Rupees.</t>
  </si>
  <si>
    <t>How many minutes in 2 hours?</t>
  </si>
  <si>
    <t>120 minutes.</t>
  </si>
  <si>
    <t>Calculate 1/2 of 50?</t>
  </si>
  <si>
    <t>Predecessor of 1,000?</t>
  </si>
  <si>
    <t>Is 24 divisible by 8?</t>
  </si>
  <si>
    <t>Yes, 24 ÷ 8 = 3.</t>
  </si>
  <si>
    <t>Value of '3' in 3,456?</t>
  </si>
  <si>
    <t>What is 10 × 10 × 10?</t>
  </si>
  <si>
    <t>Now proceed with class 8, You need to create it as before each questions separately mentioned with each answer as given previously for class 5 step by step</t>
  </si>
  <si>
    <t>Base Color</t>
  </si>
  <si>
    <t>Hex Code</t>
  </si>
  <si>
    <t>Midnight Navy</t>
  </si>
  <si>
    <t>#003366</t>
  </si>
  <si>
    <t>Slate Grey</t>
  </si>
  <si>
    <t>#4A4A4A</t>
  </si>
  <si>
    <t>Forest Green</t>
  </si>
  <si>
    <t>#228B22</t>
  </si>
  <si>
    <t>Indigo</t>
  </si>
  <si>
    <t>#4B0082</t>
  </si>
  <si>
    <t>Saddle Brown</t>
  </si>
  <si>
    <t>#8B4513</t>
  </si>
  <si>
    <t>Turquoise</t>
  </si>
  <si>
    <t>#00CED1</t>
  </si>
  <si>
    <r>
      <t>10 Concept Cards (10 pts):</t>
    </r>
    <r>
      <rPr>
        <sz val="11"/>
        <color theme="1"/>
        <rFont val="Aptos Narrow"/>
        <family val="2"/>
        <scheme val="minor"/>
      </rPr>
      <t xml:space="preserve"> Basic definitions (e.g., "What is X?").</t>
    </r>
  </si>
  <si>
    <r>
      <t>8 Process Cards (20 pts):</t>
    </r>
    <r>
      <rPr>
        <sz val="11"/>
        <color theme="1"/>
        <rFont val="Aptos Narrow"/>
        <family val="2"/>
        <scheme val="minor"/>
      </rPr>
      <t xml:space="preserve"> How things work or relate (e.g., "How does X work?").</t>
    </r>
  </si>
  <si>
    <r>
      <t>2 Challenge Cards (50 pts):</t>
    </r>
    <r>
      <rPr>
        <sz val="11"/>
        <color theme="1"/>
        <rFont val="Aptos Narrow"/>
        <family val="2"/>
        <scheme val="minor"/>
      </rPr>
      <t xml:space="preserve"> Complex problems or "Boss Fight" questions.</t>
    </r>
  </si>
  <si>
    <r>
      <t>1 Rules/Instructions Card:</t>
    </r>
    <r>
      <rPr>
        <sz val="11"/>
        <color theme="1"/>
        <rFont val="Aptos Narrow"/>
        <family val="2"/>
        <scheme val="minor"/>
      </rPr>
      <t xml:space="preserve"> (Branded with your "CC" logo).</t>
    </r>
  </si>
  <si>
    <r>
      <t>Action Cards:</t>
    </r>
    <r>
      <rPr>
        <sz val="11"/>
        <color theme="1"/>
        <rFont val="Aptos Narrow"/>
        <family val="2"/>
        <scheme val="minor"/>
      </rPr>
      <t xml:space="preserve"> To make the game more exciting, mix in "Action Cards" (1 in every 10 cards) that don't teach a concept but change the game flow:</t>
    </r>
  </si>
  <si>
    <r>
      <t>"System Upgrade":</t>
    </r>
    <r>
      <rPr>
        <sz val="11"/>
        <color theme="1"/>
        <rFont val="Aptos Narrow"/>
        <family val="2"/>
        <scheme val="minor"/>
      </rPr>
      <t xml:space="preserve"> Double the points of your next card.</t>
    </r>
  </si>
  <si>
    <r>
      <t>"Data Breach":</t>
    </r>
    <r>
      <rPr>
        <sz val="11"/>
        <color theme="1"/>
        <rFont val="Aptos Narrow"/>
        <family val="2"/>
        <scheme val="minor"/>
      </rPr>
      <t xml:space="preserve"> Discard one card from your opponent's hand.</t>
    </r>
  </si>
  <si>
    <r>
      <t>"System Reboot":</t>
    </r>
    <r>
      <rPr>
        <sz val="11"/>
        <color theme="1"/>
        <rFont val="Aptos Narrow"/>
        <family val="2"/>
        <scheme val="minor"/>
      </rPr>
      <t xml:space="preserve"> Swap hands with your opponent.</t>
    </r>
  </si>
  <si>
    <t>Question</t>
  </si>
  <si>
    <t>Answer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</si>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</sst>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3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164" fontId="0" fillId="0" borderId="0" xfId="1" applyNumberFormat="1" applyFont="1"/>
    <xf numFmtId="0" fontId="5" fillId="0" borderId="3" xfId="0" applyFont="1" applyBorder="1" applyAlignment="1">
      <alignment horizontal="left" vertical="center" indent="1" readingOrder="1"/>
    </xf>
    <xf numFmtId="0" fontId="4" fillId="0" borderId="3" xfId="0" applyFont="1" applyBorder="1" applyAlignment="1">
      <alignment horizontal="left" vertical="center" indent="1" readingOrder="1"/>
    </xf>
    <xf numFmtId="4" fontId="4" fillId="0" borderId="3" xfId="0" applyNumberFormat="1" applyFont="1" applyBorder="1" applyAlignment="1">
      <alignment horizontal="left" vertical="center" indent="1" readingOrder="1"/>
    </xf>
    <xf numFmtId="0" fontId="3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59A1-5DB3-4D1B-97E5-F31D49147421}">
  <dimension ref="A1:O27"/>
  <sheetViews>
    <sheetView workbookViewId="0">
      <selection activeCell="A2" sqref="A2"/>
    </sheetView>
  </sheetViews>
  <sheetFormatPr defaultRowHeight="15" x14ac:dyDescent="0.25"/>
  <cols>
    <col min="1" max="1" width="15" bestFit="1" customWidth="1"/>
    <col min="2" max="2" width="15.42578125" bestFit="1" customWidth="1"/>
    <col min="3" max="3" width="12.28515625" bestFit="1" customWidth="1"/>
    <col min="4" max="4" width="16.5703125" bestFit="1" customWidth="1"/>
    <col min="5" max="5" width="15" bestFit="1" customWidth="1"/>
    <col min="6" max="6" width="17.85546875" bestFit="1" customWidth="1"/>
  </cols>
  <sheetData>
    <row r="1" spans="1:15" ht="15.75" thickBot="1" x14ac:dyDescent="0.3">
      <c r="A1" t="s">
        <v>42</v>
      </c>
    </row>
    <row r="2" spans="1:15" ht="16.5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 t="s">
        <v>5</v>
      </c>
    </row>
    <row r="3" spans="1:15" ht="16.5" thickBot="1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>
        <f>21*5</f>
        <v>105</v>
      </c>
    </row>
    <row r="4" spans="1:15" ht="16.5" thickBot="1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>
        <f t="shared" ref="G4:G8" si="0">21*5</f>
        <v>105</v>
      </c>
    </row>
    <row r="5" spans="1:15" ht="16.5" thickBot="1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>
        <f t="shared" si="0"/>
        <v>105</v>
      </c>
    </row>
    <row r="6" spans="1:15" ht="16.5" thickBot="1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>
        <f t="shared" si="0"/>
        <v>105</v>
      </c>
    </row>
    <row r="7" spans="1:15" ht="16.5" thickBot="1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>
        <f t="shared" si="0"/>
        <v>105</v>
      </c>
    </row>
    <row r="8" spans="1:15" ht="16.5" thickBot="1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>
        <f t="shared" si="0"/>
        <v>105</v>
      </c>
      <c r="K8">
        <f>12*18</f>
        <v>216</v>
      </c>
    </row>
    <row r="9" spans="1:15" ht="15.75" x14ac:dyDescent="0.25">
      <c r="A9" s="3" t="s">
        <v>43</v>
      </c>
      <c r="G9">
        <f>SUM(G3:G8)</f>
        <v>630</v>
      </c>
      <c r="H9">
        <f>G9*6</f>
        <v>3780</v>
      </c>
    </row>
    <row r="10" spans="1:15" x14ac:dyDescent="0.25">
      <c r="K10">
        <f>3.3*2.12</f>
        <v>6.9959999999999996</v>
      </c>
    </row>
    <row r="11" spans="1:15" x14ac:dyDescent="0.25">
      <c r="K11" s="4">
        <f>K8/K10</f>
        <v>30.874785591766727</v>
      </c>
      <c r="L11">
        <v>30</v>
      </c>
      <c r="M11">
        <f>G9/L11</f>
        <v>21</v>
      </c>
      <c r="N11">
        <v>18</v>
      </c>
      <c r="O11">
        <f>M11*N11</f>
        <v>378</v>
      </c>
    </row>
    <row r="12" spans="1:15" ht="15.75" thickBot="1" x14ac:dyDescent="0.3"/>
    <row r="13" spans="1:15" ht="15.75" thickBot="1" x14ac:dyDescent="0.3">
      <c r="A13" s="5" t="s">
        <v>0</v>
      </c>
      <c r="B13" s="5" t="s">
        <v>75</v>
      </c>
      <c r="C13" s="5" t="s">
        <v>76</v>
      </c>
    </row>
    <row r="14" spans="1:15" ht="15.75" thickBot="1" x14ac:dyDescent="0.3">
      <c r="A14" s="5" t="s">
        <v>6</v>
      </c>
      <c r="B14" s="6" t="s">
        <v>77</v>
      </c>
      <c r="C14" s="6" t="s">
        <v>78</v>
      </c>
    </row>
    <row r="15" spans="1:15" ht="15.75" thickBot="1" x14ac:dyDescent="0.3">
      <c r="A15" s="5" t="s">
        <v>12</v>
      </c>
      <c r="B15" s="6" t="s">
        <v>79</v>
      </c>
      <c r="C15" s="6" t="s">
        <v>80</v>
      </c>
    </row>
    <row r="16" spans="1:15" ht="15.75" thickBot="1" x14ac:dyDescent="0.3">
      <c r="A16" s="5" t="s">
        <v>18</v>
      </c>
      <c r="B16" s="6" t="s">
        <v>81</v>
      </c>
      <c r="C16" s="6" t="s">
        <v>82</v>
      </c>
    </row>
    <row r="17" spans="1:8" ht="15.75" thickBot="1" x14ac:dyDescent="0.3">
      <c r="A17" s="5" t="s">
        <v>24</v>
      </c>
      <c r="B17" s="6" t="s">
        <v>83</v>
      </c>
      <c r="C17" s="6" t="s">
        <v>84</v>
      </c>
    </row>
    <row r="18" spans="1:8" ht="15.75" thickBot="1" x14ac:dyDescent="0.3">
      <c r="A18" s="5" t="s">
        <v>30</v>
      </c>
      <c r="B18" s="6" t="s">
        <v>85</v>
      </c>
      <c r="C18" s="6" t="s">
        <v>86</v>
      </c>
    </row>
    <row r="19" spans="1:8" ht="15.75" thickBot="1" x14ac:dyDescent="0.3">
      <c r="A19" s="5" t="s">
        <v>36</v>
      </c>
      <c r="B19" s="6" t="s">
        <v>87</v>
      </c>
      <c r="C19" s="6" t="s">
        <v>88</v>
      </c>
    </row>
    <row r="20" spans="1:8" x14ac:dyDescent="0.25">
      <c r="H20" s="8" t="s">
        <v>93</v>
      </c>
    </row>
    <row r="21" spans="1:8" x14ac:dyDescent="0.25">
      <c r="A21" s="8" t="s">
        <v>89</v>
      </c>
      <c r="H21" s="10"/>
    </row>
    <row r="22" spans="1:8" x14ac:dyDescent="0.25">
      <c r="H22" s="11" t="s">
        <v>94</v>
      </c>
    </row>
    <row r="23" spans="1:8" x14ac:dyDescent="0.25">
      <c r="A23" s="8" t="s">
        <v>90</v>
      </c>
      <c r="H23" s="10"/>
    </row>
    <row r="24" spans="1:8" x14ac:dyDescent="0.25">
      <c r="H24" s="11" t="s">
        <v>95</v>
      </c>
    </row>
    <row r="25" spans="1:8" x14ac:dyDescent="0.25">
      <c r="A25" s="8" t="s">
        <v>91</v>
      </c>
      <c r="H25" s="10"/>
    </row>
    <row r="26" spans="1:8" x14ac:dyDescent="0.25">
      <c r="H26" s="11" t="s">
        <v>96</v>
      </c>
    </row>
    <row r="27" spans="1:8" x14ac:dyDescent="0.25">
      <c r="A27" s="8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AA8D-07ED-4758-8079-A945674D8339}">
  <dimension ref="A1:C20"/>
  <sheetViews>
    <sheetView tabSelected="1" workbookViewId="0"/>
  </sheetViews>
  <sheetFormatPr defaultRowHeight="15" x14ac:dyDescent="0.25"/>
  <cols>
    <col min="1" max="1" width="40.42578125" bestFit="1" customWidth="1"/>
    <col min="2" max="2" width="51.42578125" bestFit="1" customWidth="1"/>
  </cols>
  <sheetData>
    <row r="1" spans="1:3" ht="15.75" thickBot="1" x14ac:dyDescent="0.3">
      <c r="A1" t="s">
        <v>97</v>
      </c>
      <c r="B1" t="s">
        <v>98</v>
      </c>
      <c r="C1" s="6" t="s">
        <v>99</v>
      </c>
    </row>
    <row r="2" spans="1:3" ht="15.75" thickBot="1" x14ac:dyDescent="0.3">
      <c r="A2" s="6" t="s">
        <v>44</v>
      </c>
      <c r="B2" s="6">
        <v>2</v>
      </c>
      <c r="C2" s="6">
        <v>10</v>
      </c>
    </row>
    <row r="3" spans="1:3" ht="15.75" thickBot="1" x14ac:dyDescent="0.3">
      <c r="A3" s="6" t="s">
        <v>45</v>
      </c>
      <c r="B3" s="6" t="s">
        <v>46</v>
      </c>
      <c r="C3" s="6">
        <v>10</v>
      </c>
    </row>
    <row r="4" spans="1:3" ht="15.75" thickBot="1" x14ac:dyDescent="0.3">
      <c r="A4" s="6" t="s">
        <v>47</v>
      </c>
      <c r="B4" s="6">
        <v>25</v>
      </c>
      <c r="C4" s="6">
        <v>10</v>
      </c>
    </row>
    <row r="5" spans="1:3" ht="15.75" thickBot="1" x14ac:dyDescent="0.3">
      <c r="A5" s="6" t="s">
        <v>48</v>
      </c>
      <c r="B5" s="6" t="s">
        <v>49</v>
      </c>
      <c r="C5" s="6">
        <v>10</v>
      </c>
    </row>
    <row r="6" spans="1:3" ht="15.75" thickBot="1" x14ac:dyDescent="0.3">
      <c r="A6" s="6" t="s">
        <v>50</v>
      </c>
      <c r="B6" s="6" t="s">
        <v>51</v>
      </c>
      <c r="C6" s="6">
        <v>10</v>
      </c>
    </row>
    <row r="7" spans="1:3" ht="15.75" thickBot="1" x14ac:dyDescent="0.3">
      <c r="A7" s="6" t="s">
        <v>52</v>
      </c>
      <c r="B7" s="6" t="s">
        <v>53</v>
      </c>
      <c r="C7" s="6">
        <v>10</v>
      </c>
    </row>
    <row r="8" spans="1:3" ht="15.75" thickBot="1" x14ac:dyDescent="0.3">
      <c r="A8" s="6" t="s">
        <v>54</v>
      </c>
      <c r="B8" s="6" t="s">
        <v>55</v>
      </c>
      <c r="C8" s="6">
        <v>10</v>
      </c>
    </row>
    <row r="9" spans="1:3" ht="15.75" thickBot="1" x14ac:dyDescent="0.3">
      <c r="A9" s="6" t="s">
        <v>56</v>
      </c>
      <c r="B9" s="6" t="s">
        <v>57</v>
      </c>
      <c r="C9" s="6">
        <v>10</v>
      </c>
    </row>
    <row r="10" spans="1:3" ht="15.75" thickBot="1" x14ac:dyDescent="0.3">
      <c r="A10" s="6" t="s">
        <v>58</v>
      </c>
      <c r="B10" s="6">
        <v>25</v>
      </c>
      <c r="C10" s="6">
        <v>10</v>
      </c>
    </row>
    <row r="11" spans="1:3" ht="15.75" thickBot="1" x14ac:dyDescent="0.3">
      <c r="A11" s="6" t="s">
        <v>59</v>
      </c>
      <c r="B11" s="6" t="s">
        <v>60</v>
      </c>
      <c r="C11" s="6">
        <v>10</v>
      </c>
    </row>
    <row r="12" spans="1:3" ht="15.75" thickBot="1" x14ac:dyDescent="0.3">
      <c r="A12" s="6" t="s">
        <v>61</v>
      </c>
      <c r="B12" s="6" t="s">
        <v>62</v>
      </c>
      <c r="C12" s="6">
        <v>20</v>
      </c>
    </row>
    <row r="13" spans="1:3" ht="15.75" thickBot="1" x14ac:dyDescent="0.3">
      <c r="A13" s="6" t="s">
        <v>63</v>
      </c>
      <c r="B13" s="7">
        <v>1500</v>
      </c>
      <c r="C13" s="6">
        <v>20</v>
      </c>
    </row>
    <row r="14" spans="1:3" ht="15.75" thickBot="1" x14ac:dyDescent="0.3">
      <c r="A14" s="6" t="s">
        <v>64</v>
      </c>
      <c r="B14" s="6" t="s">
        <v>65</v>
      </c>
      <c r="C14" s="6">
        <v>20</v>
      </c>
    </row>
    <row r="15" spans="1:3" ht="15.75" thickBot="1" x14ac:dyDescent="0.3">
      <c r="A15" s="6" t="s">
        <v>66</v>
      </c>
      <c r="B15" s="6" t="s">
        <v>67</v>
      </c>
      <c r="C15" s="6">
        <v>20</v>
      </c>
    </row>
    <row r="16" spans="1:3" ht="15.75" thickBot="1" x14ac:dyDescent="0.3">
      <c r="A16" s="6" t="s">
        <v>68</v>
      </c>
      <c r="B16" s="6">
        <v>25</v>
      </c>
      <c r="C16" s="6">
        <v>20</v>
      </c>
    </row>
    <row r="17" spans="1:3" ht="15.75" thickBot="1" x14ac:dyDescent="0.3">
      <c r="A17" s="6" t="s">
        <v>69</v>
      </c>
      <c r="B17" s="6">
        <v>999</v>
      </c>
      <c r="C17" s="6">
        <v>20</v>
      </c>
    </row>
    <row r="18" spans="1:3" ht="15.75" thickBot="1" x14ac:dyDescent="0.3">
      <c r="A18" s="6" t="s">
        <v>70</v>
      </c>
      <c r="B18" s="6" t="s">
        <v>71</v>
      </c>
      <c r="C18" s="6">
        <v>20</v>
      </c>
    </row>
    <row r="19" spans="1:3" ht="15.75" thickBot="1" x14ac:dyDescent="0.3">
      <c r="A19" s="6" t="s">
        <v>72</v>
      </c>
      <c r="B19" s="7">
        <v>3000</v>
      </c>
      <c r="C19" s="6">
        <v>20</v>
      </c>
    </row>
    <row r="20" spans="1:3" ht="15.75" thickBot="1" x14ac:dyDescent="0.3">
      <c r="A20" s="6" t="s">
        <v>73</v>
      </c>
      <c r="B20" s="7">
        <v>1000</v>
      </c>
      <c r="C20" s="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B052-2C68-4B61-9E32-89261B0E79CE}">
  <dimension ref="A1"/>
  <sheetViews>
    <sheetView workbookViewId="0"/>
  </sheetViews>
  <sheetFormatPr defaultRowHeight="15" x14ac:dyDescent="0.25"/>
  <sheetData>
    <row r="1" spans="1:1" ht="16.5" x14ac:dyDescent="0.25">
      <c r="A1" s="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Sawmadip Dutta</dc:creator>
  <cp:lastModifiedBy>UJJAL KUMAR ROY</cp:lastModifiedBy>
  <dcterms:created xsi:type="dcterms:W3CDTF">2026-06-26T12:47:29Z</dcterms:created>
  <dcterms:modified xsi:type="dcterms:W3CDTF">2026-07-04T21:12:32Z</dcterms:modified>
</cp:coreProperties>
</file>